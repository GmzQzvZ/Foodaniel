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0d147797b9a9f7b0/Documentos/"/>
    </mc:Choice>
  </mc:AlternateContent>
  <xr:revisionPtr revIDLastSave="0" documentId="8_{0AA117A3-1497-4FF8-8851-BBD7A7E06BD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- AYUDA -" sheetId="4" r:id="rId1"/>
    <sheet name="Costo de recetas" sheetId="1" r:id="rId2"/>
  </sheets>
  <externalReferences>
    <externalReference r:id="rId3"/>
    <externalReference r:id="rId4"/>
  </externalReferences>
  <definedNames>
    <definedName name="Comprobantes">'[1]Tabla de Comprobantes'!$A$3:$A$65</definedName>
    <definedName name="Cost_per_Ounce">#REF!</definedName>
    <definedName name="crp">IF(AND('[2]Costo Plato'!#REF!="© 2011 Spreadsheet123 Ltd. All rights reserved",'[2]Costo Plato'!#REF!="Small Business Templates by Spreadsheet123.com"),1,0)</definedName>
    <definedName name="Gross_or_Not">#REF!</definedName>
    <definedName name="Help">#REF!</definedName>
    <definedName name="PC">'[1]Tabla de Comprobantes'!$E$3:$E$14</definedName>
    <definedName name="Tax_R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31" i="1"/>
  <c r="H29" i="1"/>
  <c r="H28" i="1"/>
  <c r="H27" i="1"/>
  <c r="H22" i="1"/>
  <c r="H23" i="1"/>
  <c r="H24" i="1"/>
  <c r="H25" i="1"/>
  <c r="H26" i="1"/>
  <c r="H21" i="1"/>
  <c r="H18" i="1" l="1"/>
  <c r="H8" i="1" s="1"/>
  <c r="H10" i="1" s="1"/>
  <c r="H12" i="1" s="1"/>
  <c r="H14" i="1" s="1"/>
  <c r="H15" i="1" l="1"/>
</calcChain>
</file>

<file path=xl/sharedStrings.xml><?xml version="1.0" encoding="utf-8"?>
<sst xmlns="http://schemas.openxmlformats.org/spreadsheetml/2006/main" count="60" uniqueCount="41">
  <si>
    <t>Leche</t>
  </si>
  <si>
    <t>Huevos</t>
  </si>
  <si>
    <t>Azúcar</t>
  </si>
  <si>
    <t>CANTIDAD</t>
  </si>
  <si>
    <t>INGREDIENTE</t>
  </si>
  <si>
    <t>PRESENTACIÓN</t>
  </si>
  <si>
    <t>COSTO</t>
  </si>
  <si>
    <t>UNIDAD</t>
  </si>
  <si>
    <t>UTILIZADA EN RECETA</t>
  </si>
  <si>
    <t>COSTO EN RECETA</t>
  </si>
  <si>
    <t>Grs</t>
  </si>
  <si>
    <t>ml</t>
  </si>
  <si>
    <t>Unid.</t>
  </si>
  <si>
    <t>Unid</t>
  </si>
  <si>
    <t>INSUMOS</t>
  </si>
  <si>
    <t>Receta:</t>
  </si>
  <si>
    <t>TOTAL COSTO</t>
  </si>
  <si>
    <t>IVA</t>
  </si>
  <si>
    <t>PRECIO</t>
  </si>
  <si>
    <t>PRECIO DE VENTA + IVA</t>
  </si>
  <si>
    <t>GANANCIA</t>
  </si>
  <si>
    <t>% DE GANANCIA</t>
  </si>
  <si>
    <t>COSTO UNITARIO</t>
  </si>
  <si>
    <t>PORCIONES</t>
  </si>
  <si>
    <t>COSTO DE ELABORACIÓN</t>
  </si>
  <si>
    <t>Rendimiento en porciones:</t>
  </si>
  <si>
    <t>Fecha de elaboración:</t>
  </si>
  <si>
    <t>Comentarios:</t>
  </si>
  <si>
    <t>RESULTADOS</t>
  </si>
  <si>
    <t>Ayuda</t>
  </si>
  <si>
    <t>pastel de chocolate</t>
  </si>
  <si>
    <t>Aceite</t>
  </si>
  <si>
    <t xml:space="preserve">Harina </t>
  </si>
  <si>
    <t>Crema de leche</t>
  </si>
  <si>
    <t xml:space="preserve">Café caliente </t>
  </si>
  <si>
    <t>Polvo de hornear</t>
  </si>
  <si>
    <t>Cocoa</t>
  </si>
  <si>
    <t>Bicarbonato</t>
  </si>
  <si>
    <t>Sal</t>
  </si>
  <si>
    <t>g</t>
  </si>
  <si>
    <t>4 capas 16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</si>
</sst>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&quot;$&quot;#,##0.00"/>
    <numFmt numFmtId="167" formatCode="&quot;$&quot;\ #,##0.00"/>
    <numFmt numFmtId="168" formatCode="_(* #,##0.0_);_(* \(#,##0.0\);_(* &quot;-&quot;??_);_(@_)"/>
  </numFmts>
  <fonts count="21" x14ac:knownFonts="1">
    <font>
      <sz val="10"/>
      <name val="Arial"/>
    </font>
    <font>
      <sz val="10"/>
      <name val="Arial"/>
      <family val="2"/>
    </font>
    <font>
      <sz val="12"/>
      <name val="Calibri"/>
      <family val="2"/>
      <scheme val="minor"/>
    </font>
    <font>
      <u/>
      <sz val="10"/>
      <color indexed="12"/>
      <name val="Arial"/>
      <family val="2"/>
    </font>
    <font>
      <u/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sz val="16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18"/>
      <color theme="1" tint="0.249977111117893"/>
      <name val="Poppins"/>
    </font>
    <font>
      <sz val="16"/>
      <color theme="1" tint="0.34998626667073579"/>
      <name val="Poppins"/>
    </font>
    <font>
      <sz val="12"/>
      <name val="Poppins"/>
    </font>
    <font>
      <b/>
      <sz val="14"/>
      <color theme="1" tint="0.249977111117893"/>
      <name val="Poppins"/>
    </font>
    <font>
      <sz val="10"/>
      <name val="Poppins"/>
    </font>
    <font>
      <b/>
      <sz val="18"/>
      <color theme="1" tint="4.9989318521683403E-2"/>
      <name val="Poppins"/>
    </font>
    <font>
      <b/>
      <sz val="14"/>
      <name val="Poppins"/>
    </font>
    <font>
      <b/>
      <sz val="16"/>
      <color theme="1" tint="0.34998626667073579"/>
      <name val="Poppins"/>
    </font>
    <font>
      <sz val="14"/>
      <color theme="1" tint="0.34998626667073579"/>
      <name val="Poppins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CE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FFDB00"/>
      </bottom>
      <diagonal/>
    </border>
    <border>
      <left/>
      <right/>
      <top/>
      <bottom style="slantDashDot">
        <color theme="0" tint="-4.9989318521683403E-2"/>
      </bottom>
      <diagonal/>
    </border>
    <border>
      <left style="thick">
        <color rgb="FFFFDB00"/>
      </left>
      <right/>
      <top/>
      <bottom style="slantDashDot">
        <color theme="0" tint="-4.9989318521683403E-2"/>
      </bottom>
      <diagonal/>
    </border>
    <border>
      <left/>
      <right style="thick">
        <color rgb="FFFFDB00"/>
      </right>
      <top/>
      <bottom style="slantDashDot">
        <color theme="0" tint="-4.9989318521683403E-2"/>
      </bottom>
      <diagonal/>
    </border>
    <border>
      <left style="thick">
        <color rgb="FFFFDB00"/>
      </left>
      <right style="thick">
        <color rgb="FFFFDB00"/>
      </right>
      <top style="thick">
        <color rgb="FFFFDB00"/>
      </top>
      <bottom/>
      <diagonal/>
    </border>
    <border>
      <left style="thick">
        <color rgb="FFFFDB00"/>
      </left>
      <right style="thick">
        <color rgb="FFFFDB00"/>
      </right>
      <top style="thick">
        <color rgb="FFFFDB00"/>
      </top>
      <bottom style="thick">
        <color rgb="FFFFDB00"/>
      </bottom>
      <diagonal/>
    </border>
    <border>
      <left style="thick">
        <color rgb="FFFFDB00"/>
      </left>
      <right style="thick">
        <color rgb="FFFFDB00"/>
      </right>
      <top/>
      <bottom style="thick">
        <color rgb="FFFFDB00"/>
      </bottom>
      <diagonal/>
    </border>
    <border>
      <left style="thick">
        <color rgb="FFFFDB00"/>
      </left>
      <right/>
      <top style="thick">
        <color rgb="FFFFDB00"/>
      </top>
      <bottom style="thick">
        <color rgb="FFFFDB00"/>
      </bottom>
      <diagonal/>
    </border>
    <border>
      <left/>
      <right/>
      <top style="thick">
        <color rgb="FFFFDB00"/>
      </top>
      <bottom style="thick">
        <color rgb="FFFFDB00"/>
      </bottom>
      <diagonal/>
    </border>
    <border>
      <left/>
      <right style="thick">
        <color rgb="FFFFDB00"/>
      </right>
      <top style="thick">
        <color rgb="FFFFDB00"/>
      </top>
      <bottom style="thick">
        <color rgb="FFFFDB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ck">
        <color theme="0"/>
      </right>
      <top/>
      <bottom style="thick">
        <color rgb="FFFFDB00"/>
      </bottom>
      <diagonal/>
    </border>
    <border>
      <left style="thick">
        <color rgb="FFFFDB00"/>
      </left>
      <right style="thick">
        <color rgb="FFFFDB00"/>
      </right>
      <top style="thick">
        <color rgb="FFFFDB00"/>
      </top>
      <bottom style="thick">
        <color theme="0"/>
      </bottom>
      <diagonal/>
    </border>
    <border>
      <left style="thick">
        <color rgb="FFFFDB00"/>
      </left>
      <right style="thick">
        <color rgb="FFFFDB00"/>
      </right>
      <top style="thick">
        <color theme="0"/>
      </top>
      <bottom style="thick">
        <color theme="0"/>
      </bottom>
      <diagonal/>
    </border>
    <border>
      <left style="thick">
        <color rgb="FFFFDB00"/>
      </left>
      <right style="thick">
        <color rgb="FFFFDB00"/>
      </right>
      <top style="thick">
        <color theme="0"/>
      </top>
      <bottom style="slantDashDot">
        <color theme="0" tint="-4.9989318521683403E-2"/>
      </bottom>
      <diagonal/>
    </border>
    <border>
      <left/>
      <right/>
      <top style="slantDashDot">
        <color theme="0" tint="-4.9989318521683403E-2"/>
      </top>
      <bottom style="slantDashDot">
        <color theme="0" tint="-4.9989318521683403E-2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0" fillId="0" borderId="0"/>
  </cellStyleXfs>
  <cellXfs count="6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4" applyFont="1" applyFill="1" applyAlignment="1" applyProtection="1"/>
    <xf numFmtId="49" fontId="2" fillId="0" borderId="0" xfId="1" applyNumberFormat="1" applyFont="1" applyFill="1" applyBorder="1" applyAlignment="1" applyProtection="1">
      <protection locked="0"/>
    </xf>
    <xf numFmtId="166" fontId="2" fillId="0" borderId="0" xfId="2" applyNumberFormat="1" applyFont="1" applyFill="1" applyBorder="1" applyAlignment="1" applyProtection="1">
      <alignment horizontal="right"/>
    </xf>
    <xf numFmtId="0" fontId="4" fillId="0" borderId="0" xfId="4" applyFont="1" applyFill="1" applyBorder="1" applyAlignment="1" applyProtection="1"/>
    <xf numFmtId="0" fontId="7" fillId="0" borderId="2" xfId="0" applyFont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7" fillId="0" borderId="4" xfId="0" applyFont="1" applyBorder="1" applyAlignment="1">
      <alignment horizontal="left" vertical="center" indent="1"/>
    </xf>
    <xf numFmtId="165" fontId="7" fillId="0" borderId="4" xfId="2" applyFont="1" applyBorder="1" applyAlignment="1">
      <alignment horizontal="left" vertical="center" indent="1"/>
    </xf>
    <xf numFmtId="168" fontId="7" fillId="0" borderId="3" xfId="1" applyNumberFormat="1" applyFont="1" applyBorder="1" applyAlignment="1">
      <alignment horizontal="center" vertical="center"/>
    </xf>
    <xf numFmtId="167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indent="1"/>
    </xf>
    <xf numFmtId="165" fontId="7" fillId="0" borderId="4" xfId="2" applyFont="1" applyBorder="1" applyAlignment="1">
      <alignment horizontal="center" vertical="center"/>
    </xf>
    <xf numFmtId="0" fontId="6" fillId="0" borderId="0" xfId="0" applyFont="1" applyAlignment="1">
      <alignment horizontal="right" vertical="center" indent="1"/>
    </xf>
    <xf numFmtId="0" fontId="7" fillId="0" borderId="0" xfId="0" applyFont="1"/>
    <xf numFmtId="0" fontId="8" fillId="0" borderId="0" xfId="0" applyFont="1" applyAlignment="1">
      <alignment horizontal="right"/>
    </xf>
    <xf numFmtId="9" fontId="8" fillId="0" borderId="0" xfId="3" applyFont="1" applyFill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7" fillId="2" borderId="14" xfId="2" applyFont="1" applyFill="1" applyBorder="1" applyAlignment="1">
      <alignment horizontal="left" vertical="center" indent="1"/>
    </xf>
    <xf numFmtId="165" fontId="7" fillId="2" borderId="15" xfId="2" applyFont="1" applyFill="1" applyBorder="1" applyAlignment="1">
      <alignment horizontal="left" vertical="center" indent="1"/>
    </xf>
    <xf numFmtId="0" fontId="5" fillId="0" borderId="0" xfId="5"/>
    <xf numFmtId="0" fontId="10" fillId="0" borderId="0" xfId="6"/>
    <xf numFmtId="0" fontId="11" fillId="0" borderId="0" xfId="5" applyFont="1" applyAlignment="1">
      <alignment vertical="center"/>
    </xf>
    <xf numFmtId="0" fontId="11" fillId="0" borderId="0" xfId="5" applyFont="1" applyAlignment="1">
      <alignment vertical="top"/>
    </xf>
    <xf numFmtId="0" fontId="0" fillId="4" borderId="0" xfId="0" applyFill="1"/>
    <xf numFmtId="0" fontId="0" fillId="5" borderId="0" xfId="0" applyFill="1"/>
    <xf numFmtId="0" fontId="12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4" fillId="0" borderId="0" xfId="0" applyFont="1"/>
    <xf numFmtId="0" fontId="15" fillId="3" borderId="11" xfId="0" applyFont="1" applyFill="1" applyBorder="1" applyAlignment="1">
      <alignment vertical="center"/>
    </xf>
    <xf numFmtId="167" fontId="15" fillId="3" borderId="11" xfId="0" applyNumberFormat="1" applyFont="1" applyFill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6" fillId="0" borderId="0" xfId="0" applyFont="1"/>
    <xf numFmtId="9" fontId="15" fillId="0" borderId="1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 indent="1"/>
    </xf>
    <xf numFmtId="167" fontId="18" fillId="2" borderId="1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 indent="1"/>
    </xf>
    <xf numFmtId="0" fontId="16" fillId="0" borderId="1" xfId="0" applyFont="1" applyBorder="1"/>
    <xf numFmtId="165" fontId="19" fillId="2" borderId="12" xfId="2" applyFont="1" applyFill="1" applyBorder="1" applyAlignment="1">
      <alignment horizontal="center" vertical="center"/>
    </xf>
    <xf numFmtId="165" fontId="19" fillId="2" borderId="1" xfId="2" applyFont="1" applyFill="1" applyBorder="1" applyAlignment="1">
      <alignment horizontal="left" vertical="center" indent="1"/>
    </xf>
    <xf numFmtId="0" fontId="15" fillId="3" borderId="5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indent="1"/>
    </xf>
    <xf numFmtId="167" fontId="20" fillId="0" borderId="3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 indent="1"/>
    </xf>
    <xf numFmtId="2" fontId="20" fillId="0" borderId="3" xfId="1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65" fontId="20" fillId="2" borderId="13" xfId="2" applyFont="1" applyFill="1" applyBorder="1" applyAlignment="1">
      <alignment horizontal="left" vertical="center" indent="1"/>
    </xf>
    <xf numFmtId="165" fontId="20" fillId="2" borderId="14" xfId="2" applyFont="1" applyFill="1" applyBorder="1" applyAlignment="1">
      <alignment horizontal="left" vertical="center" indent="1"/>
    </xf>
    <xf numFmtId="165" fontId="20" fillId="0" borderId="4" xfId="2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7">
    <cellStyle name="Hipervínculo" xfId="4" builtinId="8"/>
    <cellStyle name="Millares" xfId="1" builtinId="3"/>
    <cellStyle name="Moneda" xfId="2" builtinId="4"/>
    <cellStyle name="Normal" xfId="0" builtinId="0"/>
    <cellStyle name="Normal 2" xfId="5" xr:uid="{18FEF38F-6E22-4E61-95DF-89A399AE627D}"/>
    <cellStyle name="Normal 3" xfId="6" xr:uid="{EFC66CBA-F732-4459-A82B-C33B3704FBE8}"/>
    <cellStyle name="Porcentaje" xfId="3" builtinId="5"/>
  </cellStyles>
  <dxfs count="1">
    <dxf>
      <font>
        <color rgb="FFFF0000"/>
      </font>
    </dxf>
  </dxfs>
  <tableStyles count="0" defaultTableStyle="TableStyleMedium2" defaultPivotStyle="PivotStyleLight16"/>
  <colors>
    <mruColors>
      <color rgb="FFFFD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</xdr:row>
      <xdr:rowOff>152400</xdr:rowOff>
    </xdr:from>
    <xdr:to>
      <xdr:col>7</xdr:col>
      <xdr:colOff>444500</xdr:colOff>
      <xdr:row>37</xdr:row>
      <xdr:rowOff>76200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BAC363A7-A3F6-4C5E-88EF-3B570611F059}"/>
            </a:ext>
          </a:extLst>
        </xdr:cNvPr>
        <xdr:cNvSpPr txBox="1"/>
      </xdr:nvSpPr>
      <xdr:spPr>
        <a:xfrm>
          <a:off x="254000" y="1805940"/>
          <a:ext cx="8054340" cy="64541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La plantilla de Costo</a:t>
          </a:r>
          <a:r>
            <a:rPr lang="es-ES" sz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 de recetas le ayudará a obtener cuánto debe cobrar al público su plato considerando un margen de ganancia deseado</a:t>
          </a:r>
        </a:p>
        <a:p>
          <a:endParaRPr lang="es-ES" sz="1200">
            <a:solidFill>
              <a:schemeClr val="tx1">
                <a:lumMod val="65000"/>
                <a:lumOff val="35000"/>
              </a:schemeClr>
            </a:solidFill>
            <a:latin typeface="Poppins" panose="00000500000000000000" pitchFamily="2" charset="0"/>
            <a:cs typeface="Poppins" panose="00000500000000000000" pitchFamily="2" charset="0"/>
          </a:endParaRPr>
        </a:p>
        <a:p>
          <a:r>
            <a:rPr lang="en-US" sz="120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Para usarla,</a:t>
          </a:r>
          <a:r>
            <a:rPr lang="en-US" sz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 sigue estos pasos:</a:t>
          </a:r>
        </a:p>
        <a:p>
          <a:endParaRPr lang="en-US" sz="1200" baseline="0">
            <a:solidFill>
              <a:schemeClr val="tx1">
                <a:lumMod val="65000"/>
                <a:lumOff val="35000"/>
              </a:schemeClr>
            </a:solidFill>
            <a:latin typeface="Poppins" panose="00000500000000000000" pitchFamily="2" charset="0"/>
            <a:cs typeface="Poppins" panose="00000500000000000000" pitchFamily="2" charset="0"/>
          </a:endParaRPr>
        </a:p>
        <a:p>
          <a:r>
            <a:rPr lang="en-US" sz="1200" b="1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1. </a:t>
          </a:r>
          <a:r>
            <a:rPr lang="es-ES" sz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Escriba los detalles de su receta desde la celda C7 a la C10</a:t>
          </a:r>
        </a:p>
        <a:p>
          <a:endParaRPr lang="en-US" sz="1200" baseline="0">
            <a:solidFill>
              <a:schemeClr val="tx1">
                <a:lumMod val="65000"/>
                <a:lumOff val="35000"/>
              </a:schemeClr>
            </a:solidFill>
            <a:latin typeface="Poppins" panose="00000500000000000000" pitchFamily="2" charset="0"/>
            <a:cs typeface="Poppins" panose="00000500000000000000" pitchFamily="2" charset="0"/>
          </a:endParaRPr>
        </a:p>
        <a:p>
          <a:r>
            <a:rPr lang="en-US" sz="1200" b="1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2. </a:t>
          </a:r>
          <a:r>
            <a:rPr lang="en-US" sz="1200" b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En la tabla "Insumos" agregue lo siguiente:</a:t>
          </a:r>
        </a:p>
        <a:p>
          <a:r>
            <a:rPr lang="en-US" sz="1200" b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	- Presentación: Introduzca el costo, la cantidad y la unidad de medida del ingrediente que haya comprado. Por ejemplo si la receta requiere Harina, ingrese el costo de compra, la cantidad que viene en el paquete  y la unidad de medida.</a:t>
          </a:r>
        </a:p>
        <a:p>
          <a:r>
            <a:rPr lang="en-US" sz="1200" b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	- Utilizada en receta: Aquí introduzca la cantidad utilizada en la receta y la unidad de medida.</a:t>
          </a:r>
        </a:p>
        <a:p>
          <a:r>
            <a:rPr lang="en-US" sz="1200" b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	- Costo de receta: aquí hará el cálculo automático de lo que representa cada ingrediente en la receta.</a:t>
          </a:r>
        </a:p>
        <a:p>
          <a:endParaRPr lang="en-US" sz="1200" b="0" baseline="0">
            <a:solidFill>
              <a:schemeClr val="tx1">
                <a:lumMod val="65000"/>
                <a:lumOff val="35000"/>
              </a:schemeClr>
            </a:solidFill>
            <a:latin typeface="Poppins" panose="00000500000000000000" pitchFamily="2" charset="0"/>
            <a:cs typeface="Poppins" panose="00000500000000000000" pitchFamily="2" charset="0"/>
          </a:endParaRPr>
        </a:p>
        <a:p>
          <a:r>
            <a:rPr lang="es-ES" sz="1200" b="1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3. </a:t>
          </a:r>
          <a:r>
            <a:rPr lang="es-ES" sz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En la celda H11 y H13 ingrese el margen de ganancia deseado y el IVA</a:t>
          </a:r>
        </a:p>
        <a:p>
          <a:endParaRPr lang="es-ES" sz="1200" baseline="0">
            <a:solidFill>
              <a:schemeClr val="tx1">
                <a:lumMod val="65000"/>
                <a:lumOff val="35000"/>
              </a:schemeClr>
            </a:solidFill>
            <a:latin typeface="Poppins" panose="00000500000000000000" pitchFamily="2" charset="0"/>
            <a:cs typeface="Poppins" panose="00000500000000000000" pitchFamily="2" charset="0"/>
          </a:endParaRPr>
        </a:p>
        <a:p>
          <a:r>
            <a:rPr lang="es-ES" sz="1200" b="1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RESULTADOS:</a:t>
          </a:r>
        </a:p>
        <a:p>
          <a:r>
            <a:rPr lang="es-ES" sz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Obtendrá una tabla donde le dirá:</a:t>
          </a:r>
        </a:p>
        <a:p>
          <a:r>
            <a:rPr lang="es-ES" sz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- El costo total de la receta </a:t>
          </a:r>
        </a:p>
        <a:p>
          <a:r>
            <a:rPr lang="es-ES" sz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- El costo por porción</a:t>
          </a:r>
        </a:p>
        <a:p>
          <a:r>
            <a:rPr lang="es-ES" sz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- El precio y precio con IVA</a:t>
          </a:r>
        </a:p>
        <a:p>
          <a:r>
            <a:rPr lang="es-ES" sz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- La ganancia que obtiene por cada porción</a:t>
          </a:r>
        </a:p>
        <a:p>
          <a:endParaRPr lang="es-ES" sz="1200" baseline="0">
            <a:solidFill>
              <a:schemeClr val="tx1">
                <a:lumMod val="65000"/>
                <a:lumOff val="35000"/>
              </a:schemeClr>
            </a:solidFill>
            <a:latin typeface="Poppins" panose="00000500000000000000" pitchFamily="2" charset="0"/>
            <a:cs typeface="Poppins" panose="00000500000000000000" pitchFamily="2" charset="0"/>
          </a:endParaRPr>
        </a:p>
        <a:p>
          <a:r>
            <a:rPr lang="es-ES" sz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Puede copiar la hoja "Costo de recetas" y hacer el cálculo para cada plato o preparación</a:t>
          </a:r>
        </a:p>
        <a:p>
          <a:endParaRPr lang="es-ES" sz="1200" baseline="0">
            <a:solidFill>
              <a:schemeClr val="tx1">
                <a:lumMod val="65000"/>
                <a:lumOff val="35000"/>
              </a:schemeClr>
            </a:solidFill>
            <a:latin typeface="Poppins" panose="00000500000000000000" pitchFamily="2" charset="0"/>
            <a:cs typeface="Poppins" panose="00000500000000000000" pitchFamily="2" charset="0"/>
          </a:endParaRP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0</xdr:colOff>
      <xdr:row>1</xdr:row>
      <xdr:rowOff>91320</xdr:rowOff>
    </xdr:from>
    <xdr:to>
      <xdr:col>3</xdr:col>
      <xdr:colOff>446194</xdr:colOff>
      <xdr:row>2</xdr:row>
      <xdr:rowOff>7500</xdr:rowOff>
    </xdr:to>
    <xdr:sp macro="" textlink="">
      <xdr:nvSpPr>
        <xdr:cNvPr id="9" name="TextBox 1">
          <a:extLst>
            <a:ext uri="{FF2B5EF4-FFF2-40B4-BE49-F238E27FC236}">
              <a16:creationId xmlns:a16="http://schemas.microsoft.com/office/drawing/2014/main" id="{E453FE4B-19A8-4223-AC5B-51F21D3CF42D}"/>
            </a:ext>
          </a:extLst>
        </xdr:cNvPr>
        <xdr:cNvSpPr txBox="1"/>
      </xdr:nvSpPr>
      <xdr:spPr>
        <a:xfrm>
          <a:off x="274320" y="213240"/>
          <a:ext cx="2976034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tx1">
                  <a:lumMod val="85000"/>
                  <a:lumOff val="1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Costo de Receta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158749</xdr:colOff>
      <xdr:row>1</xdr:row>
      <xdr:rowOff>28876</xdr:rowOff>
    </xdr:from>
    <xdr:to>
      <xdr:col>1</xdr:col>
      <xdr:colOff>3137771</xdr:colOff>
      <xdr:row>1</xdr:row>
      <xdr:rowOff>638476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5F0676C3-EF3E-D34A-9E5A-D3517D442E47}"/>
            </a:ext>
          </a:extLst>
        </xdr:cNvPr>
        <xdr:cNvSpPr txBox="1"/>
      </xdr:nvSpPr>
      <xdr:spPr>
        <a:xfrm>
          <a:off x="455082" y="223609"/>
          <a:ext cx="2976034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tx1">
                  <a:lumMod val="85000"/>
                  <a:lumOff val="15000"/>
                </a:schemeClr>
              </a:solidFill>
              <a:latin typeface="Poppins" panose="00000500000000000000" pitchFamily="2" charset="0"/>
              <a:cs typeface="Poppins" panose="00000500000000000000" pitchFamily="2" charset="0"/>
            </a:rPr>
            <a:t>Costo de Receta</a:t>
          </a:r>
        </a:p>
      </xdr:txBody>
    </xdr:sp>
    <xdr:clientData/>
  </xdr:twoCellAnchor>
  <xdr:twoCellAnchor editAs="absolute">
    <xdr:from>
      <xdr:col>5</xdr:col>
      <xdr:colOff>892734</xdr:colOff>
      <xdr:row>0</xdr:row>
      <xdr:rowOff>162982</xdr:rowOff>
    </xdr:from>
    <xdr:to>
      <xdr:col>7</xdr:col>
      <xdr:colOff>646116</xdr:colOff>
      <xdr:row>2</xdr:row>
      <xdr:rowOff>47170</xdr:rowOff>
    </xdr:to>
    <xdr:sp macro="" textlink="">
      <xdr:nvSpPr>
        <xdr:cNvPr id="8" name="TextBox 2">
          <a:extLst>
            <a:ext uri="{FF2B5EF4-FFF2-40B4-BE49-F238E27FC236}">
              <a16:creationId xmlns:a16="http://schemas.microsoft.com/office/drawing/2014/main" id="{83A58C4B-DAF9-4841-9AAD-173CFF93036B}"/>
            </a:ext>
          </a:extLst>
        </xdr:cNvPr>
        <xdr:cNvSpPr txBox="1"/>
      </xdr:nvSpPr>
      <xdr:spPr>
        <a:xfrm>
          <a:off x="7920565" y="162982"/>
          <a:ext cx="3273274" cy="730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endParaRPr lang="en-US" sz="1400" b="0">
            <a:solidFill>
              <a:schemeClr val="tx1">
                <a:lumMod val="75000"/>
                <a:lumOff val="25000"/>
              </a:schemeClr>
            </a:solidFill>
            <a:latin typeface="Arial Rounded MT Bold" panose="020F0704030504030204" pitchFamily="34" charset="77"/>
            <a:ea typeface="Apple Symbols" panose="02000000000000000000" pitchFamily="2" charset="-79"/>
            <a:cs typeface="Apple Symbols" panose="02000000000000000000" pitchFamily="2" charset="-79"/>
          </a:endParaRPr>
        </a:p>
      </xdr:txBody>
    </xdr:sp>
    <xdr:clientData/>
  </xdr:twoCellAnchor>
  <xdr:twoCellAnchor>
    <xdr:from>
      <xdr:col>5</xdr:col>
      <xdr:colOff>1041400</xdr:colOff>
      <xdr:row>6</xdr:row>
      <xdr:rowOff>143933</xdr:rowOff>
    </xdr:from>
    <xdr:to>
      <xdr:col>8</xdr:col>
      <xdr:colOff>228600</xdr:colOff>
      <xdr:row>15</xdr:row>
      <xdr:rowOff>143933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F38D0BE-A2C8-AD3B-C1F7-5CF4C57D6578}"/>
            </a:ext>
          </a:extLst>
        </xdr:cNvPr>
        <xdr:cNvSpPr/>
      </xdr:nvSpPr>
      <xdr:spPr>
        <a:xfrm>
          <a:off x="7332133" y="1938866"/>
          <a:ext cx="3691467" cy="2726267"/>
        </a:xfrm>
        <a:prstGeom prst="rect">
          <a:avLst/>
        </a:prstGeom>
        <a:noFill/>
        <a:ln w="28575">
          <a:solidFill>
            <a:srgbClr val="FFDB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ntiago\Downloads\planilla-de-excel-para-el-aplicativo-de-compras-y-vent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ecil\AppData\Local\Temp\Rar$DIa41744.33878\planilla-de-excel-calculadora-de-costo-de-recetas%20(modificar%20ayud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de Comprobant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 AYUDA -"/>
      <sheetName val="Costo Plato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0694-597B-470F-B93E-A49044AFF527}">
  <dimension ref="B1:L5"/>
  <sheetViews>
    <sheetView showGridLines="0" workbookViewId="0">
      <selection activeCell="C4" sqref="C4"/>
    </sheetView>
  </sheetViews>
  <sheetFormatPr baseColWidth="10" defaultColWidth="11.5546875" defaultRowHeight="15.6" x14ac:dyDescent="0.3"/>
  <cols>
    <col min="1" max="1" width="4" style="23" customWidth="1"/>
    <col min="2" max="11" width="18.44140625" style="23" customWidth="1"/>
    <col min="12" max="16384" width="11.5546875" style="23"/>
  </cols>
  <sheetData>
    <row r="1" spans="2:12" ht="9.9" customHeight="1" x14ac:dyDescent="0.3"/>
    <row r="2" spans="2:12" s="24" customFormat="1" ht="54.9" customHeight="1" x14ac:dyDescent="0.3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2" ht="24" customHeight="1" x14ac:dyDescent="0.3"/>
    <row r="4" spans="2:12" ht="42" customHeight="1" x14ac:dyDescent="0.3">
      <c r="B4" s="25" t="s">
        <v>29</v>
      </c>
      <c r="C4" s="26"/>
      <c r="D4" s="26"/>
      <c r="E4" s="26"/>
      <c r="F4" s="26"/>
      <c r="G4" s="26"/>
      <c r="H4" s="26"/>
      <c r="I4" s="26"/>
      <c r="J4" s="26"/>
      <c r="K4" s="26"/>
    </row>
    <row r="5" spans="2:12" ht="1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47"/>
  <sheetViews>
    <sheetView showGridLines="0" tabSelected="1" zoomScale="68" zoomScaleNormal="90" workbookViewId="0">
      <selection activeCell="J19" sqref="J19"/>
    </sheetView>
  </sheetViews>
  <sheetFormatPr baseColWidth="10" defaultColWidth="16.109375" defaultRowHeight="15.6" x14ac:dyDescent="0.3"/>
  <cols>
    <col min="1" max="1" width="4.33203125" style="1" customWidth="1"/>
    <col min="2" max="2" width="49.21875" style="1" customWidth="1"/>
    <col min="3" max="3" width="17.109375" style="1" customWidth="1"/>
    <col min="4" max="4" width="19.109375" style="1" customWidth="1"/>
    <col min="5" max="5" width="12.5546875" style="1" customWidth="1"/>
    <col min="6" max="6" width="22.77734375" style="1" customWidth="1"/>
    <col min="7" max="7" width="28.6640625" style="1" bestFit="1" customWidth="1"/>
    <col min="8" max="8" width="18.21875" style="1" customWidth="1"/>
    <col min="9" max="9" width="7.6640625" style="1" customWidth="1"/>
    <col min="10" max="10" width="21" style="2" customWidth="1"/>
    <col min="11" max="11" width="19.44140625" style="2" customWidth="1"/>
    <col min="12" max="16384" width="16.109375" style="1"/>
  </cols>
  <sheetData>
    <row r="2" spans="2:19" ht="51.75" customHeight="1" x14ac:dyDescent="0.3">
      <c r="B2" s="28"/>
      <c r="C2" s="28"/>
      <c r="D2" s="28"/>
      <c r="E2" s="28"/>
      <c r="F2" s="28"/>
      <c r="G2" s="28"/>
      <c r="H2" s="28"/>
      <c r="I2" s="28"/>
      <c r="J2"/>
    </row>
    <row r="3" spans="2:19" x14ac:dyDescent="0.3">
      <c r="B3"/>
      <c r="C3"/>
      <c r="D3"/>
      <c r="E3"/>
      <c r="F3"/>
      <c r="G3"/>
      <c r="H3"/>
      <c r="I3"/>
      <c r="J3"/>
    </row>
    <row r="4" spans="2:19" x14ac:dyDescent="0.3">
      <c r="B4"/>
      <c r="C4"/>
      <c r="D4"/>
      <c r="E4"/>
      <c r="F4"/>
      <c r="G4"/>
      <c r="H4"/>
      <c r="I4"/>
      <c r="J4"/>
    </row>
    <row r="5" spans="2:19" ht="22.5" customHeight="1" x14ac:dyDescent="0.3">
      <c r="B5" s="8"/>
    </row>
    <row r="6" spans="2:19" ht="22.5" customHeight="1" x14ac:dyDescent="0.3">
      <c r="G6" s="65" t="s">
        <v>28</v>
      </c>
      <c r="H6" s="65"/>
    </row>
    <row r="7" spans="2:19" ht="22.5" customHeight="1" thickBot="1" x14ac:dyDescent="0.9">
      <c r="B7" s="29" t="s">
        <v>15</v>
      </c>
      <c r="C7" s="30" t="s">
        <v>30</v>
      </c>
      <c r="D7" s="30"/>
      <c r="E7" s="30"/>
      <c r="F7" s="31"/>
      <c r="G7" s="31"/>
      <c r="H7" s="31"/>
    </row>
    <row r="8" spans="2:19" ht="24.75" customHeight="1" thickBot="1" x14ac:dyDescent="0.9">
      <c r="B8" s="29" t="s">
        <v>25</v>
      </c>
      <c r="C8" s="30" t="s">
        <v>40</v>
      </c>
      <c r="D8" s="30"/>
      <c r="E8" s="30"/>
      <c r="F8" s="31"/>
      <c r="G8" s="32" t="s">
        <v>24</v>
      </c>
      <c r="H8" s="33">
        <f>H18</f>
        <v>2.8230666666666671</v>
      </c>
    </row>
    <row r="9" spans="2:19" ht="35.4" thickBot="1" x14ac:dyDescent="0.9">
      <c r="B9" s="29" t="s">
        <v>26</v>
      </c>
      <c r="C9" s="34">
        <v>44686</v>
      </c>
      <c r="D9" s="34"/>
      <c r="E9" s="34"/>
      <c r="F9" s="31"/>
      <c r="G9" s="32" t="s">
        <v>23</v>
      </c>
      <c r="H9" s="35">
        <v>4</v>
      </c>
      <c r="M9" s="8"/>
      <c r="N9" s="8"/>
      <c r="O9" s="8"/>
      <c r="Q9" s="8"/>
      <c r="R9" s="8"/>
      <c r="S9" s="8"/>
    </row>
    <row r="10" spans="2:19" ht="35.4" thickBot="1" x14ac:dyDescent="0.9">
      <c r="B10" s="29" t="s">
        <v>27</v>
      </c>
      <c r="C10" s="36"/>
      <c r="D10" s="36"/>
      <c r="E10" s="36"/>
      <c r="F10" s="31"/>
      <c r="G10" s="32" t="s">
        <v>22</v>
      </c>
      <c r="H10" s="33">
        <f>H8/H9</f>
        <v>0.70576666666666676</v>
      </c>
      <c r="J10" s="3"/>
      <c r="K10" s="1"/>
      <c r="N10" s="19"/>
      <c r="O10" s="19"/>
      <c r="P10" s="20"/>
      <c r="Q10" s="15"/>
      <c r="R10" s="15"/>
      <c r="S10" s="17"/>
    </row>
    <row r="11" spans="2:19" ht="27" thickBot="1" x14ac:dyDescent="0.9">
      <c r="B11" s="31"/>
      <c r="C11" s="31"/>
      <c r="D11" s="31"/>
      <c r="E11" s="31"/>
      <c r="F11" s="37"/>
      <c r="G11" s="32" t="s">
        <v>21</v>
      </c>
      <c r="H11" s="38">
        <v>0.8</v>
      </c>
      <c r="J11" s="3"/>
      <c r="K11" s="1"/>
      <c r="N11" s="19"/>
      <c r="O11" s="19"/>
      <c r="P11" s="20"/>
      <c r="Q11" s="15"/>
      <c r="R11" s="15"/>
      <c r="S11" s="17"/>
    </row>
    <row r="12" spans="2:19" ht="27" thickBot="1" x14ac:dyDescent="0.9">
      <c r="B12" s="31"/>
      <c r="C12" s="31"/>
      <c r="D12" s="31"/>
      <c r="E12" s="31"/>
      <c r="F12" s="37"/>
      <c r="G12" s="32" t="s">
        <v>18</v>
      </c>
      <c r="H12" s="33">
        <f>H10/(1-H11)</f>
        <v>3.5288333333333348</v>
      </c>
      <c r="J12" s="3"/>
      <c r="K12" s="1"/>
      <c r="N12" s="19"/>
      <c r="O12" s="19"/>
      <c r="P12" s="20"/>
      <c r="Q12" s="15"/>
      <c r="R12" s="15"/>
      <c r="S12" s="17"/>
    </row>
    <row r="13" spans="2:19" ht="27" thickBot="1" x14ac:dyDescent="0.9">
      <c r="B13" s="31"/>
      <c r="C13" s="31"/>
      <c r="D13" s="31"/>
      <c r="E13" s="31"/>
      <c r="F13" s="37"/>
      <c r="G13" s="32" t="s">
        <v>17</v>
      </c>
      <c r="H13" s="38">
        <v>0.15</v>
      </c>
      <c r="J13" s="3"/>
      <c r="K13" s="1"/>
      <c r="N13" s="19"/>
      <c r="O13" s="19"/>
      <c r="P13" s="20"/>
      <c r="Q13" s="15"/>
      <c r="R13" s="15"/>
      <c r="S13" s="17"/>
    </row>
    <row r="14" spans="2:19" ht="35.4" thickBot="1" x14ac:dyDescent="0.9">
      <c r="B14" s="39"/>
      <c r="C14" s="39"/>
      <c r="D14" s="31"/>
      <c r="E14" s="40"/>
      <c r="F14" s="37"/>
      <c r="G14" s="32" t="s">
        <v>19</v>
      </c>
      <c r="H14" s="41">
        <f>H12*(1+H13)</f>
        <v>4.0581583333333349</v>
      </c>
      <c r="J14" s="3"/>
      <c r="K14" s="1"/>
      <c r="N14" s="19"/>
      <c r="O14" s="19"/>
      <c r="P14" s="20"/>
      <c r="Q14" s="15"/>
      <c r="R14" s="15"/>
      <c r="S14" s="17"/>
    </row>
    <row r="15" spans="2:19" ht="35.4" thickBot="1" x14ac:dyDescent="0.9">
      <c r="B15" s="39"/>
      <c r="C15" s="39"/>
      <c r="D15" s="31"/>
      <c r="E15" s="40"/>
      <c r="F15" s="37"/>
      <c r="G15" s="32" t="s">
        <v>20</v>
      </c>
      <c r="H15" s="41">
        <f>H12-H10</f>
        <v>2.8230666666666679</v>
      </c>
      <c r="J15" s="3"/>
      <c r="K15" s="1"/>
      <c r="N15" s="19"/>
      <c r="O15" s="19"/>
      <c r="P15" s="20"/>
      <c r="Q15" s="15"/>
      <c r="R15" s="15"/>
      <c r="S15" s="17"/>
    </row>
    <row r="16" spans="2:19" ht="24" x14ac:dyDescent="0.85">
      <c r="B16" s="31"/>
      <c r="C16" s="31"/>
      <c r="D16" s="31"/>
      <c r="E16" s="31"/>
      <c r="F16" s="31"/>
      <c r="G16" s="31"/>
      <c r="H16" s="31"/>
      <c r="J16" s="1"/>
      <c r="K16" s="1"/>
      <c r="N16" s="16"/>
      <c r="O16" s="16"/>
      <c r="P16" s="4"/>
      <c r="Q16" s="15"/>
      <c r="R16" s="15"/>
      <c r="S16" s="17"/>
    </row>
    <row r="17" spans="2:19" ht="24" x14ac:dyDescent="0.85">
      <c r="B17" s="31"/>
      <c r="C17" s="31"/>
      <c r="D17" s="31"/>
      <c r="E17" s="31"/>
      <c r="F17" s="31"/>
      <c r="G17" s="31"/>
      <c r="H17" s="31"/>
      <c r="J17" s="1"/>
      <c r="K17" s="1"/>
      <c r="N17" s="16"/>
      <c r="O17" s="16"/>
      <c r="P17" s="4"/>
      <c r="Q17" s="15"/>
      <c r="R17" s="15"/>
      <c r="S17" s="17"/>
    </row>
    <row r="18" spans="2:19" ht="26.4" customHeight="1" thickBot="1" x14ac:dyDescent="0.9">
      <c r="B18" s="42" t="s">
        <v>14</v>
      </c>
      <c r="C18" s="42"/>
      <c r="D18" s="43"/>
      <c r="E18" s="44"/>
      <c r="F18" s="31"/>
      <c r="G18" s="45" t="s">
        <v>16</v>
      </c>
      <c r="H18" s="46">
        <f>SUM(H21:H47)</f>
        <v>2.8230666666666671</v>
      </c>
      <c r="I18" s="6"/>
      <c r="J18" s="5"/>
      <c r="K18" s="1"/>
      <c r="N18" s="16"/>
      <c r="O18" s="16"/>
      <c r="Q18" s="15"/>
      <c r="R18" s="15"/>
      <c r="S18" s="18"/>
    </row>
    <row r="19" spans="2:19" ht="42.6" customHeight="1" thickTop="1" thickBot="1" x14ac:dyDescent="0.35">
      <c r="B19" s="47" t="s">
        <v>4</v>
      </c>
      <c r="C19" s="48" t="s">
        <v>5</v>
      </c>
      <c r="D19" s="49"/>
      <c r="E19" s="50"/>
      <c r="F19" s="48" t="s">
        <v>8</v>
      </c>
      <c r="G19" s="50"/>
      <c r="H19" s="51" t="s">
        <v>9</v>
      </c>
      <c r="I19" s="5"/>
      <c r="J19" s="1"/>
      <c r="K19" s="1"/>
    </row>
    <row r="20" spans="2:19" ht="27" customHeight="1" thickTop="1" thickBot="1" x14ac:dyDescent="0.35">
      <c r="B20" s="52"/>
      <c r="C20" s="53" t="s">
        <v>6</v>
      </c>
      <c r="D20" s="53" t="s">
        <v>3</v>
      </c>
      <c r="E20" s="54" t="s">
        <v>7</v>
      </c>
      <c r="F20" s="53" t="s">
        <v>3</v>
      </c>
      <c r="G20" s="54" t="s">
        <v>7</v>
      </c>
      <c r="H20" s="55"/>
      <c r="I20" s="5"/>
      <c r="J20" s="1"/>
      <c r="K20" s="1"/>
    </row>
    <row r="21" spans="2:19" ht="27.6" thickTop="1" thickBot="1" x14ac:dyDescent="0.35">
      <c r="B21" s="56" t="s">
        <v>2</v>
      </c>
      <c r="C21" s="57">
        <v>1.2</v>
      </c>
      <c r="D21" s="58">
        <v>1000</v>
      </c>
      <c r="E21" s="59" t="s">
        <v>39</v>
      </c>
      <c r="F21" s="60">
        <v>325</v>
      </c>
      <c r="G21" s="61" t="s">
        <v>10</v>
      </c>
      <c r="H21" s="62">
        <f>IFERROR((F21*C21)/D21,0)</f>
        <v>0.39</v>
      </c>
      <c r="J21" s="1"/>
      <c r="K21" s="1"/>
    </row>
    <row r="22" spans="2:19" ht="27.6" thickTop="1" thickBot="1" x14ac:dyDescent="0.35">
      <c r="B22" s="56" t="s">
        <v>31</v>
      </c>
      <c r="C22" s="57">
        <v>3.5</v>
      </c>
      <c r="D22" s="58">
        <v>1000</v>
      </c>
      <c r="E22" s="59" t="s">
        <v>11</v>
      </c>
      <c r="F22" s="60">
        <v>113</v>
      </c>
      <c r="G22" s="61" t="s">
        <v>11</v>
      </c>
      <c r="H22" s="63">
        <f t="shared" ref="H22:H31" si="0">IFERROR((F22*C22)/D22,0)</f>
        <v>0.39550000000000002</v>
      </c>
      <c r="J22" s="1"/>
      <c r="K22" s="1"/>
    </row>
    <row r="23" spans="2:19" ht="27.6" thickTop="1" thickBot="1" x14ac:dyDescent="0.35">
      <c r="B23" s="56" t="s">
        <v>32</v>
      </c>
      <c r="C23" s="57">
        <v>1.3</v>
      </c>
      <c r="D23" s="58">
        <v>1000</v>
      </c>
      <c r="E23" s="59" t="s">
        <v>39</v>
      </c>
      <c r="F23" s="60">
        <v>240</v>
      </c>
      <c r="G23" s="64" t="s">
        <v>10</v>
      </c>
      <c r="H23" s="63">
        <f t="shared" si="0"/>
        <v>0.312</v>
      </c>
      <c r="J23" s="1"/>
      <c r="K23" s="1"/>
    </row>
    <row r="24" spans="2:19" ht="27.6" thickTop="1" thickBot="1" x14ac:dyDescent="0.35">
      <c r="B24" s="56" t="s">
        <v>0</v>
      </c>
      <c r="C24" s="57">
        <v>0.9</v>
      </c>
      <c r="D24" s="58">
        <v>1000</v>
      </c>
      <c r="E24" s="59" t="s">
        <v>11</v>
      </c>
      <c r="F24" s="60">
        <v>103</v>
      </c>
      <c r="G24" s="64" t="s">
        <v>11</v>
      </c>
      <c r="H24" s="63">
        <f t="shared" si="0"/>
        <v>9.2700000000000005E-2</v>
      </c>
      <c r="J24" s="1"/>
      <c r="K24" s="1"/>
    </row>
    <row r="25" spans="2:19" ht="27.6" thickTop="1" thickBot="1" x14ac:dyDescent="0.35">
      <c r="B25" s="56" t="s">
        <v>1</v>
      </c>
      <c r="C25" s="57">
        <v>1.02</v>
      </c>
      <c r="D25" s="58">
        <v>6</v>
      </c>
      <c r="E25" s="59" t="s">
        <v>12</v>
      </c>
      <c r="F25" s="60">
        <v>3</v>
      </c>
      <c r="G25" s="64" t="s">
        <v>13</v>
      </c>
      <c r="H25" s="63">
        <f t="shared" si="0"/>
        <v>0.51</v>
      </c>
    </row>
    <row r="26" spans="2:19" ht="27.6" thickTop="1" thickBot="1" x14ac:dyDescent="0.35">
      <c r="B26" s="56" t="s">
        <v>33</v>
      </c>
      <c r="C26" s="57">
        <v>3.5</v>
      </c>
      <c r="D26" s="58">
        <v>1000</v>
      </c>
      <c r="E26" s="59" t="s">
        <v>11</v>
      </c>
      <c r="F26" s="60">
        <v>103</v>
      </c>
      <c r="G26" s="64" t="s">
        <v>11</v>
      </c>
      <c r="H26" s="63">
        <f t="shared" si="0"/>
        <v>0.36049999999999999</v>
      </c>
    </row>
    <row r="27" spans="2:19" ht="27.6" thickTop="1" thickBot="1" x14ac:dyDescent="0.35">
      <c r="B27" s="56" t="s">
        <v>34</v>
      </c>
      <c r="C27" s="57">
        <v>14</v>
      </c>
      <c r="D27" s="58">
        <v>750</v>
      </c>
      <c r="E27" s="59" t="s">
        <v>39</v>
      </c>
      <c r="F27" s="60">
        <v>1</v>
      </c>
      <c r="G27" s="64" t="s">
        <v>10</v>
      </c>
      <c r="H27" s="63">
        <f t="shared" si="0"/>
        <v>1.8666666666666668E-2</v>
      </c>
    </row>
    <row r="28" spans="2:19" ht="27.6" thickTop="1" thickBot="1" x14ac:dyDescent="0.35">
      <c r="B28" s="56" t="s">
        <v>35</v>
      </c>
      <c r="C28" s="57">
        <v>10</v>
      </c>
      <c r="D28" s="58">
        <v>1000</v>
      </c>
      <c r="E28" s="59" t="s">
        <v>39</v>
      </c>
      <c r="F28" s="60">
        <v>10</v>
      </c>
      <c r="G28" s="64" t="s">
        <v>10</v>
      </c>
      <c r="H28" s="63">
        <f t="shared" si="0"/>
        <v>0.1</v>
      </c>
    </row>
    <row r="29" spans="2:19" ht="27.6" thickTop="1" thickBot="1" x14ac:dyDescent="0.35">
      <c r="B29" s="56" t="s">
        <v>36</v>
      </c>
      <c r="C29" s="57">
        <v>4.9000000000000004</v>
      </c>
      <c r="D29" s="58">
        <v>500</v>
      </c>
      <c r="E29" s="59" t="s">
        <v>39</v>
      </c>
      <c r="F29" s="60">
        <v>60</v>
      </c>
      <c r="G29" s="64" t="s">
        <v>10</v>
      </c>
      <c r="H29" s="63">
        <f t="shared" si="0"/>
        <v>0.58799999999999997</v>
      </c>
    </row>
    <row r="30" spans="2:19" ht="27.6" thickTop="1" thickBot="1" x14ac:dyDescent="0.35">
      <c r="B30" s="56" t="s">
        <v>37</v>
      </c>
      <c r="C30" s="57">
        <v>5</v>
      </c>
      <c r="D30" s="58">
        <v>1000</v>
      </c>
      <c r="E30" s="59" t="s">
        <v>39</v>
      </c>
      <c r="F30" s="60">
        <v>10</v>
      </c>
      <c r="G30" s="64" t="s">
        <v>10</v>
      </c>
      <c r="H30" s="63">
        <f t="shared" si="0"/>
        <v>0.05</v>
      </c>
    </row>
    <row r="31" spans="2:19" ht="27.6" thickTop="1" thickBot="1" x14ac:dyDescent="0.35">
      <c r="B31" s="56" t="s">
        <v>38</v>
      </c>
      <c r="C31" s="57">
        <v>1.9</v>
      </c>
      <c r="D31" s="58">
        <v>1000</v>
      </c>
      <c r="E31" s="59" t="s">
        <v>39</v>
      </c>
      <c r="F31" s="60">
        <v>3</v>
      </c>
      <c r="G31" s="64" t="s">
        <v>10</v>
      </c>
      <c r="H31" s="63">
        <f t="shared" si="0"/>
        <v>5.6999999999999993E-3</v>
      </c>
    </row>
    <row r="32" spans="2:19" ht="27.6" thickTop="1" thickBot="1" x14ac:dyDescent="0.35">
      <c r="B32" s="56"/>
      <c r="C32" s="57"/>
      <c r="D32" s="58"/>
      <c r="E32" s="59"/>
      <c r="F32" s="60"/>
      <c r="G32" s="64"/>
      <c r="H32" s="63"/>
    </row>
    <row r="33" spans="2:11" ht="27.6" thickTop="1" thickBot="1" x14ac:dyDescent="0.35">
      <c r="B33" s="56"/>
      <c r="C33" s="57"/>
      <c r="D33" s="58"/>
      <c r="E33" s="59"/>
      <c r="F33" s="60"/>
      <c r="G33" s="64"/>
      <c r="H33" s="63"/>
    </row>
    <row r="34" spans="2:11" ht="27.6" thickTop="1" thickBot="1" x14ac:dyDescent="0.35">
      <c r="B34" s="56"/>
      <c r="C34" s="57"/>
      <c r="D34" s="58"/>
      <c r="E34" s="59"/>
      <c r="F34" s="60"/>
      <c r="G34" s="64"/>
      <c r="H34" s="63"/>
      <c r="K34" s="1"/>
    </row>
    <row r="35" spans="2:11" ht="27.6" thickTop="1" thickBot="1" x14ac:dyDescent="0.35">
      <c r="B35" s="56"/>
      <c r="C35" s="57"/>
      <c r="D35" s="58"/>
      <c r="E35" s="59"/>
      <c r="F35" s="60"/>
      <c r="G35" s="64"/>
      <c r="H35" s="63"/>
      <c r="K35" s="1"/>
    </row>
    <row r="36" spans="2:11" ht="27.6" thickTop="1" thickBot="1" x14ac:dyDescent="0.35">
      <c r="B36" s="56"/>
      <c r="C36" s="57"/>
      <c r="D36" s="58"/>
      <c r="E36" s="59"/>
      <c r="F36" s="60"/>
      <c r="G36" s="64"/>
      <c r="H36" s="63"/>
    </row>
    <row r="37" spans="2:11" ht="27.6" thickTop="1" thickBot="1" x14ac:dyDescent="0.35">
      <c r="B37" s="56"/>
      <c r="C37" s="57"/>
      <c r="D37" s="58"/>
      <c r="E37" s="59"/>
      <c r="F37" s="60"/>
      <c r="G37" s="64"/>
      <c r="H37" s="63"/>
    </row>
    <row r="38" spans="2:11" ht="27.6" thickTop="1" thickBot="1" x14ac:dyDescent="0.35">
      <c r="B38" s="56"/>
      <c r="C38" s="57"/>
      <c r="D38" s="58"/>
      <c r="E38" s="59"/>
      <c r="F38" s="60"/>
      <c r="G38" s="64"/>
      <c r="H38" s="63"/>
    </row>
    <row r="39" spans="2:11" ht="27.6" thickTop="1" thickBot="1" x14ac:dyDescent="0.35">
      <c r="B39" s="56"/>
      <c r="C39" s="57"/>
      <c r="D39" s="58"/>
      <c r="E39" s="59"/>
      <c r="F39" s="60"/>
      <c r="G39" s="64"/>
      <c r="H39" s="63"/>
    </row>
    <row r="40" spans="2:11" ht="27.6" thickTop="1" thickBot="1" x14ac:dyDescent="0.35">
      <c r="B40" s="56"/>
      <c r="C40" s="57"/>
      <c r="D40" s="58"/>
      <c r="E40" s="59"/>
      <c r="F40" s="60"/>
      <c r="G40" s="64"/>
      <c r="H40" s="63"/>
    </row>
    <row r="41" spans="2:11" ht="27.6" thickTop="1" thickBot="1" x14ac:dyDescent="0.35">
      <c r="B41" s="56"/>
      <c r="C41" s="57"/>
      <c r="D41" s="58"/>
      <c r="E41" s="59"/>
      <c r="F41" s="60"/>
      <c r="G41" s="64"/>
      <c r="H41" s="63"/>
    </row>
    <row r="42" spans="2:11" ht="27.6" thickTop="1" thickBot="1" x14ac:dyDescent="0.35">
      <c r="B42" s="56"/>
      <c r="C42" s="57"/>
      <c r="D42" s="58"/>
      <c r="E42" s="59"/>
      <c r="F42" s="60"/>
      <c r="G42" s="64"/>
      <c r="H42" s="63"/>
    </row>
    <row r="43" spans="2:11" ht="27.6" thickTop="1" thickBot="1" x14ac:dyDescent="0.35">
      <c r="B43" s="56"/>
      <c r="C43" s="57"/>
      <c r="D43" s="58"/>
      <c r="E43" s="59"/>
      <c r="F43" s="60"/>
      <c r="G43" s="64"/>
      <c r="H43" s="63"/>
    </row>
    <row r="44" spans="2:11" ht="27.6" thickTop="1" thickBot="1" x14ac:dyDescent="0.35">
      <c r="B44" s="56"/>
      <c r="C44" s="57"/>
      <c r="D44" s="58"/>
      <c r="E44" s="59"/>
      <c r="F44" s="60"/>
      <c r="G44" s="64"/>
      <c r="H44" s="63"/>
    </row>
    <row r="45" spans="2:11" ht="19.2" thickTop="1" thickBot="1" x14ac:dyDescent="0.35">
      <c r="B45" s="13"/>
      <c r="C45" s="12"/>
      <c r="D45" s="7"/>
      <c r="E45" s="9"/>
      <c r="F45" s="11"/>
      <c r="G45" s="14"/>
      <c r="H45" s="21"/>
    </row>
    <row r="46" spans="2:11" ht="19.2" thickTop="1" thickBot="1" x14ac:dyDescent="0.35">
      <c r="B46" s="13"/>
      <c r="C46" s="12"/>
      <c r="D46" s="7"/>
      <c r="E46" s="9"/>
      <c r="F46" s="11"/>
      <c r="G46" s="14"/>
      <c r="H46" s="21"/>
    </row>
    <row r="47" spans="2:11" ht="19.2" thickTop="1" thickBot="1" x14ac:dyDescent="0.35">
      <c r="B47" s="13"/>
      <c r="C47" s="12"/>
      <c r="D47" s="7"/>
      <c r="E47" s="9"/>
      <c r="F47" s="11"/>
      <c r="G47" s="10"/>
      <c r="H47" s="22"/>
    </row>
  </sheetData>
  <mergeCells count="10">
    <mergeCell ref="F19:G19"/>
    <mergeCell ref="C19:E19"/>
    <mergeCell ref="B19:B20"/>
    <mergeCell ref="B18:C18"/>
    <mergeCell ref="H19:H20"/>
    <mergeCell ref="C9:E9"/>
    <mergeCell ref="C8:E8"/>
    <mergeCell ref="G6:H6"/>
    <mergeCell ref="C7:E7"/>
    <mergeCell ref="C10:E10"/>
  </mergeCells>
  <conditionalFormatting sqref="S16:S17">
    <cfRule type="expression" dxfId="0" priority="1" stopIfTrue="1">
      <formula>$S$16="Enter Portions"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- AYUDA -</vt:lpstr>
      <vt:lpstr>Costo de recetas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PlanillaExcel</dc:creator>
  <cp:lastModifiedBy>Nicolás Almeida</cp:lastModifiedBy>
  <dcterms:created xsi:type="dcterms:W3CDTF">2019-08-19T14:35:23Z</dcterms:created>
  <dcterms:modified xsi:type="dcterms:W3CDTF">2024-04-05T01:39:49Z</dcterms:modified>
</cp:coreProperties>
</file>